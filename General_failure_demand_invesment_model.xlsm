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ona\Documents\kata koulu\Gradumateriaalit\GitHub\"/>
    </mc:Choice>
  </mc:AlternateContent>
  <xr:revisionPtr revIDLastSave="0" documentId="8_{969F47DF-2947-472D-8660-60D5940C2D6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General investment model" sheetId="14" r:id="rId1"/>
  </sheets>
  <definedNames>
    <definedName name="construction_cost" localSheetId="0">'General investment model'!#REF!</definedName>
    <definedName name="construction_cost">#REF!</definedName>
    <definedName name="Cost">'General investment model'!$I$25</definedName>
    <definedName name="Inflation" localSheetId="0">'General investment model'!$H$25</definedName>
    <definedName name="Inflation">#REF!</definedName>
    <definedName name="IRR" localSheetId="0">'General investment model'!$R$20</definedName>
    <definedName name="IRR">#REF!</definedName>
    <definedName name="M">'General investment model'!$R$20</definedName>
    <definedName name="NPV" localSheetId="0">'General investment model'!$R$19</definedName>
    <definedName name="NPV">#REF!</definedName>
    <definedName name="PI" localSheetId="0">'General investment model'!$R$21</definedName>
    <definedName name="PI">#REF!</definedName>
    <definedName name="Price" localSheetId="0">'General investment model'!#REF!</definedName>
    <definedName name="Price">#REF!</definedName>
    <definedName name="Removed">'General investment model'!$G$25</definedName>
    <definedName name="Taxes" localSheetId="0">'General investment model'!#REF!</definedName>
    <definedName name="Tax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7" i="14" l="1"/>
  <c r="G28" i="14"/>
  <c r="E6" i="14" l="1"/>
  <c r="H26" i="14"/>
  <c r="B10" i="14"/>
  <c r="I5" i="14" s="1"/>
  <c r="B7" i="14"/>
  <c r="H28" i="14" l="1"/>
  <c r="H27" i="14"/>
  <c r="F5" i="14"/>
  <c r="G5" i="14"/>
  <c r="M5" i="14"/>
  <c r="H5" i="14"/>
  <c r="O5" i="14"/>
  <c r="N5" i="14"/>
  <c r="L5" i="14"/>
  <c r="J5" i="14"/>
  <c r="K5" i="14"/>
  <c r="I26" i="14" l="1"/>
  <c r="I28" i="14" l="1"/>
  <c r="I27" i="14"/>
  <c r="B12" i="14"/>
  <c r="G7" i="14" s="1"/>
  <c r="E8" i="14"/>
  <c r="B5" i="14"/>
  <c r="F7" i="14" l="1"/>
  <c r="F8" i="14" s="1"/>
  <c r="F9" i="14" s="1"/>
  <c r="L7" i="14"/>
  <c r="L8" i="14" s="1"/>
  <c r="L9" i="14" s="1"/>
  <c r="N7" i="14"/>
  <c r="N8" i="14" s="1"/>
  <c r="N9" i="14" s="1"/>
  <c r="H7" i="14"/>
  <c r="H8" i="14" s="1"/>
  <c r="H9" i="14" s="1"/>
  <c r="K7" i="14"/>
  <c r="K8" i="14" s="1"/>
  <c r="K9" i="14" s="1"/>
  <c r="O7" i="14"/>
  <c r="O8" i="14" s="1"/>
  <c r="O9" i="14" s="1"/>
  <c r="I7" i="14"/>
  <c r="I8" i="14" s="1"/>
  <c r="I9" i="14" s="1"/>
  <c r="J7" i="14"/>
  <c r="J8" i="14" s="1"/>
  <c r="J9" i="14" s="1"/>
  <c r="M7" i="14"/>
  <c r="M8" i="14" s="1"/>
  <c r="M9" i="14" s="1"/>
  <c r="G8" i="14"/>
  <c r="G9" i="14" s="1"/>
  <c r="E9" i="14"/>
  <c r="E11" i="14" l="1"/>
  <c r="E20" i="14"/>
  <c r="F10" i="14"/>
  <c r="E10" i="14"/>
  <c r="E13" i="14" l="1"/>
  <c r="E12" i="14"/>
  <c r="G10" i="14"/>
  <c r="I10" i="14"/>
  <c r="E21" i="14"/>
  <c r="L10" i="14"/>
  <c r="M10" i="14"/>
  <c r="K10" i="14"/>
  <c r="N10" i="14"/>
  <c r="O10" i="14"/>
  <c r="E19" i="14" s="1"/>
  <c r="J10" i="14"/>
  <c r="H10" i="14"/>
  <c r="E14" i="14" l="1"/>
  <c r="E22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Joona</author>
  </authors>
  <commentList>
    <comment ref="B5" authorId="0" shapeId="0" xr:uid="{16056FB0-78D0-4457-8E68-FDC1D91B76B0}">
      <text>
        <r>
          <rPr>
            <b/>
            <sz val="9"/>
            <color indexed="81"/>
            <rFont val="Tahoma"/>
            <family val="2"/>
          </rPr>
          <t>Green cells have a calculation in them. Do not change these cells.</t>
        </r>
      </text>
    </comment>
  </commentList>
</comments>
</file>

<file path=xl/sharedStrings.xml><?xml version="1.0" encoding="utf-8"?>
<sst xmlns="http://schemas.openxmlformats.org/spreadsheetml/2006/main" count="42" uniqueCount="40">
  <si>
    <t>FCF</t>
  </si>
  <si>
    <t>DCF</t>
  </si>
  <si>
    <t>Cum DCF</t>
  </si>
  <si>
    <t>NPV</t>
  </si>
  <si>
    <t>IRR</t>
  </si>
  <si>
    <t>PI</t>
  </si>
  <si>
    <t>INPUT</t>
  </si>
  <si>
    <t>OUTPUT</t>
  </si>
  <si>
    <t>Last negative cash flow</t>
  </si>
  <si>
    <t>Cash flow in the next year</t>
  </si>
  <si>
    <t>Fractional value</t>
  </si>
  <si>
    <t>Negative cash flow years</t>
  </si>
  <si>
    <t>Profitability indicators</t>
  </si>
  <si>
    <t>Years</t>
  </si>
  <si>
    <t>Costs</t>
  </si>
  <si>
    <t>Scenario tool</t>
  </si>
  <si>
    <t>#</t>
  </si>
  <si>
    <t>optimistic</t>
  </si>
  <si>
    <t>realistic</t>
  </si>
  <si>
    <t>pessimistic</t>
  </si>
  <si>
    <t>Investment operating costs</t>
  </si>
  <si>
    <t>The average failure demand amount in phone calls</t>
  </si>
  <si>
    <t>The number of phone calls in one year</t>
  </si>
  <si>
    <t>Savings generated from the investments</t>
  </si>
  <si>
    <t>Investment implementation costs</t>
  </si>
  <si>
    <t>Nominal rate</t>
  </si>
  <si>
    <t>Real discount rate</t>
  </si>
  <si>
    <t>Amount of removed failure demand</t>
  </si>
  <si>
    <t>Removed failure demand</t>
  </si>
  <si>
    <t>Amount of removed failure demand (scenario tool)</t>
  </si>
  <si>
    <t>Price index / Inflation</t>
  </si>
  <si>
    <t>PBP</t>
  </si>
  <si>
    <t>Savings from a removed phone call</t>
  </si>
  <si>
    <t>Price index / inflation</t>
  </si>
  <si>
    <t>Price index / inflation (scenario tool)</t>
  </si>
  <si>
    <t>Description</t>
  </si>
  <si>
    <t xml:space="preserve">This model can be used to assess the economic viability of failure demand mitigation projects. The model was done as a part of a master's thesis. More detailed information about the thesis and the model can be found from this link: https://github.com/KatariinaTimonen/Failure-demand-analysis </t>
  </si>
  <si>
    <t>Savings generated from one removed phone call</t>
  </si>
  <si>
    <t>Savings generated from one removed phone call (scenario tool)</t>
  </si>
  <si>
    <t>Change in different scenario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</si>
</sst>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"/>
    <numFmt numFmtId="165" formatCode="0.0000000000"/>
    <numFmt numFmtId="166" formatCode="0.000\ 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6">
    <xf numFmtId="0" fontId="0" fillId="0" borderId="0" xfId="0"/>
    <xf numFmtId="9" fontId="0" fillId="0" borderId="0" xfId="0" applyNumberFormat="1"/>
    <xf numFmtId="2" fontId="0" fillId="0" borderId="0" xfId="0" applyNumberFormat="1"/>
    <xf numFmtId="0" fontId="3" fillId="0" borderId="0" xfId="0" applyFont="1"/>
    <xf numFmtId="0" fontId="5" fillId="0" borderId="0" xfId="0" applyFont="1"/>
    <xf numFmtId="0" fontId="0" fillId="0" borderId="1" xfId="0" applyBorder="1"/>
    <xf numFmtId="9" fontId="0" fillId="0" borderId="1" xfId="0" applyNumberFormat="1" applyBorder="1"/>
    <xf numFmtId="1" fontId="0" fillId="0" borderId="1" xfId="0" applyNumberFormat="1" applyBorder="1"/>
    <xf numFmtId="2" fontId="0" fillId="0" borderId="1" xfId="0" applyNumberFormat="1" applyBorder="1"/>
    <xf numFmtId="0" fontId="4" fillId="0" borderId="0" xfId="0" applyFont="1"/>
    <xf numFmtId="0" fontId="3" fillId="2" borderId="2" xfId="0" applyFont="1" applyFill="1" applyBorder="1"/>
    <xf numFmtId="3" fontId="0" fillId="0" borderId="0" xfId="0" applyNumberFormat="1"/>
    <xf numFmtId="1" fontId="0" fillId="0" borderId="0" xfId="0" applyNumberFormat="1"/>
    <xf numFmtId="0" fontId="0" fillId="0" borderId="3" xfId="0" applyBorder="1"/>
    <xf numFmtId="0" fontId="2" fillId="0" borderId="0" xfId="0" applyFont="1"/>
    <xf numFmtId="2" fontId="6" fillId="0" borderId="0" xfId="0" applyNumberFormat="1" applyFont="1"/>
    <xf numFmtId="3" fontId="0" fillId="0" borderId="1" xfId="0" applyNumberFormat="1" applyBorder="1"/>
    <xf numFmtId="9" fontId="7" fillId="0" borderId="0" xfId="0" applyNumberFormat="1" applyFont="1"/>
    <xf numFmtId="10" fontId="0" fillId="0" borderId="0" xfId="0" applyNumberFormat="1"/>
    <xf numFmtId="0" fontId="0" fillId="0" borderId="0" xfId="0" applyAlignment="1">
      <alignment wrapText="1"/>
    </xf>
    <xf numFmtId="3" fontId="0" fillId="0" borderId="3" xfId="0" applyNumberFormat="1" applyBorder="1"/>
    <xf numFmtId="9" fontId="0" fillId="5" borderId="0" xfId="0" applyNumberFormat="1" applyFill="1"/>
    <xf numFmtId="0" fontId="0" fillId="5" borderId="0" xfId="0" applyFill="1"/>
    <xf numFmtId="9" fontId="0" fillId="5" borderId="0" xfId="1" applyFont="1" applyFill="1"/>
    <xf numFmtId="0" fontId="8" fillId="0" borderId="0" xfId="2"/>
    <xf numFmtId="0" fontId="9" fillId="0" borderId="0" xfId="0" applyFont="1"/>
    <xf numFmtId="9" fontId="9" fillId="0" borderId="0" xfId="0" applyNumberFormat="1" applyFont="1"/>
    <xf numFmtId="165" fontId="0" fillId="0" borderId="0" xfId="1" applyNumberFormat="1" applyFont="1"/>
    <xf numFmtId="164" fontId="0" fillId="0" borderId="0" xfId="0" applyNumberFormat="1"/>
    <xf numFmtId="0" fontId="8" fillId="0" borderId="0" xfId="2" applyFill="1" applyBorder="1"/>
    <xf numFmtId="9" fontId="0" fillId="3" borderId="1" xfId="1" applyFont="1" applyFill="1" applyBorder="1"/>
    <xf numFmtId="9" fontId="0" fillId="4" borderId="1" xfId="1" applyFont="1" applyFill="1" applyBorder="1"/>
    <xf numFmtId="0" fontId="10" fillId="0" borderId="0" xfId="0" applyFont="1"/>
    <xf numFmtId="10" fontId="0" fillId="4" borderId="1" xfId="0" applyNumberFormat="1" applyFill="1" applyBorder="1"/>
    <xf numFmtId="10" fontId="0" fillId="3" borderId="1" xfId="0" applyNumberFormat="1" applyFill="1" applyBorder="1"/>
    <xf numFmtId="2" fontId="0" fillId="3" borderId="1" xfId="0" applyNumberFormat="1" applyFill="1" applyBorder="1"/>
    <xf numFmtId="2" fontId="0" fillId="4" borderId="1" xfId="0" applyNumberFormat="1" applyFill="1" applyBorder="1"/>
    <xf numFmtId="0" fontId="3" fillId="0" borderId="0" xfId="0" applyFont="1" applyAlignment="1">
      <alignment wrapText="1"/>
    </xf>
    <xf numFmtId="0" fontId="0" fillId="0" borderId="1" xfId="0" applyBorder="1" applyAlignment="1">
      <alignment wrapText="1"/>
    </xf>
    <xf numFmtId="9" fontId="0" fillId="0" borderId="0" xfId="0" applyNumberFormat="1" applyAlignment="1">
      <alignment wrapText="1"/>
    </xf>
    <xf numFmtId="10" fontId="0" fillId="0" borderId="0" xfId="0" applyNumberFormat="1" applyAlignment="1">
      <alignment wrapText="1"/>
    </xf>
    <xf numFmtId="0" fontId="4" fillId="0" borderId="0" xfId="0" applyFont="1" applyAlignment="1">
      <alignment wrapText="1"/>
    </xf>
    <xf numFmtId="166" fontId="0" fillId="5" borderId="0" xfId="1" applyNumberFormat="1" applyFont="1" applyFill="1"/>
    <xf numFmtId="166" fontId="0" fillId="0" borderId="0" xfId="1" applyNumberFormat="1" applyFont="1" applyFill="1"/>
    <xf numFmtId="0" fontId="0" fillId="6" borderId="1" xfId="0" applyFill="1" applyBorder="1" applyAlignment="1">
      <alignment wrapText="1"/>
    </xf>
    <xf numFmtId="0" fontId="5" fillId="6" borderId="1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10">
    <dxf>
      <font>
        <color rgb="FFFF0000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fmlaLink="$D$2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24</xdr:row>
          <xdr:rowOff>152400</xdr:rowOff>
        </xdr:from>
        <xdr:to>
          <xdr:col>3</xdr:col>
          <xdr:colOff>685800</xdr:colOff>
          <xdr:row>26</xdr:row>
          <xdr:rowOff>19050</xdr:rowOff>
        </xdr:to>
        <xdr:sp macro="" textlink="">
          <xdr:nvSpPr>
            <xdr:cNvPr id="26625" name="Option 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25</xdr:row>
          <xdr:rowOff>142875</xdr:rowOff>
        </xdr:from>
        <xdr:to>
          <xdr:col>3</xdr:col>
          <xdr:colOff>685800</xdr:colOff>
          <xdr:row>27</xdr:row>
          <xdr:rowOff>38100</xdr:rowOff>
        </xdr:to>
        <xdr:sp macro="" textlink="">
          <xdr:nvSpPr>
            <xdr:cNvPr id="26626" name="Option 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1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26</xdr:row>
          <xdr:rowOff>161925</xdr:rowOff>
        </xdr:from>
        <xdr:to>
          <xdr:col>3</xdr:col>
          <xdr:colOff>685800</xdr:colOff>
          <xdr:row>28</xdr:row>
          <xdr:rowOff>57150</xdr:rowOff>
        </xdr:to>
        <xdr:sp macro="" textlink="">
          <xdr:nvSpPr>
            <xdr:cNvPr id="26627" name="Option 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1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2C8B3-BECB-4DD2-8D3B-C7A3CFEA0611}">
  <sheetPr codeName="Sheet10"/>
  <dimension ref="A1:AB71"/>
  <sheetViews>
    <sheetView tabSelected="1" zoomScale="80" zoomScaleNormal="80" workbookViewId="0">
      <selection activeCell="B25" sqref="B25"/>
    </sheetView>
  </sheetViews>
  <sheetFormatPr defaultRowHeight="15" x14ac:dyDescent="0.25"/>
  <cols>
    <col min="1" max="1" width="69" customWidth="1"/>
    <col min="2" max="2" width="32.28515625" customWidth="1"/>
    <col min="3" max="3" width="26.42578125" customWidth="1"/>
    <col min="4" max="4" width="27.140625" style="19" customWidth="1"/>
    <col min="5" max="5" width="10.5703125" bestFit="1" customWidth="1"/>
    <col min="6" max="6" width="12.42578125" bestFit="1" customWidth="1"/>
    <col min="7" max="7" width="26.42578125" bestFit="1" customWidth="1"/>
    <col min="8" max="8" width="22.7109375" bestFit="1" customWidth="1"/>
    <col min="9" max="9" width="36" bestFit="1" customWidth="1"/>
    <col min="10" max="15" width="10.5703125" bestFit="1" customWidth="1"/>
    <col min="16" max="16" width="7.7109375" customWidth="1"/>
    <col min="17" max="17" width="23.28515625" customWidth="1"/>
    <col min="18" max="18" width="12.140625" customWidth="1"/>
    <col min="19" max="19" width="14.42578125" bestFit="1" customWidth="1"/>
    <col min="20" max="20" width="15.7109375" customWidth="1"/>
    <col min="21" max="21" width="9.85546875" customWidth="1"/>
    <col min="22" max="22" width="9.28515625" customWidth="1"/>
    <col min="27" max="28" width="12" bestFit="1" customWidth="1"/>
    <col min="29" max="29" width="11.7109375" bestFit="1" customWidth="1"/>
    <col min="193" max="193" width="9.140625" customWidth="1"/>
  </cols>
  <sheetData>
    <row r="1" spans="1:20" ht="18.75" x14ac:dyDescent="0.3">
      <c r="A1" s="45" t="s">
        <v>35</v>
      </c>
    </row>
    <row r="2" spans="1:20" ht="75" x14ac:dyDescent="0.25">
      <c r="A2" s="44" t="s">
        <v>36</v>
      </c>
    </row>
    <row r="3" spans="1:20" ht="46.5" customHeight="1" x14ac:dyDescent="0.4">
      <c r="A3" s="10" t="s">
        <v>6</v>
      </c>
      <c r="B3" s="4"/>
      <c r="C3" s="4"/>
      <c r="D3" s="37" t="s">
        <v>7</v>
      </c>
      <c r="Q3" s="3"/>
    </row>
    <row r="4" spans="1:20" x14ac:dyDescent="0.25">
      <c r="A4" t="s">
        <v>25</v>
      </c>
      <c r="B4" s="1">
        <v>4.8399999999999999E-2</v>
      </c>
      <c r="C4" s="1"/>
      <c r="D4" s="38" t="s">
        <v>13</v>
      </c>
      <c r="E4" s="5">
        <v>0</v>
      </c>
      <c r="F4" s="5">
        <v>1</v>
      </c>
      <c r="G4" s="5">
        <v>2</v>
      </c>
      <c r="H4" s="5">
        <v>3</v>
      </c>
      <c r="I4" s="5">
        <v>4</v>
      </c>
      <c r="J4" s="5">
        <v>5</v>
      </c>
      <c r="K4" s="5">
        <v>6</v>
      </c>
      <c r="L4" s="5">
        <v>7</v>
      </c>
      <c r="M4" s="5">
        <v>8</v>
      </c>
      <c r="N4" s="13">
        <v>9</v>
      </c>
      <c r="O4" s="5">
        <v>10</v>
      </c>
    </row>
    <row r="5" spans="1:20" x14ac:dyDescent="0.25">
      <c r="A5" t="s">
        <v>26</v>
      </c>
      <c r="B5" s="23">
        <f>(1+B4)/(1+VLOOKUP($D$25,$E$26:$I$28,4,FALSE))-1</f>
        <v>3.0014245714005128E-2</v>
      </c>
      <c r="C5" s="11"/>
      <c r="D5" s="38" t="s">
        <v>20</v>
      </c>
      <c r="E5" s="16"/>
      <c r="F5" s="16">
        <f>-($B$17*((1+$B$10)^F4))</f>
        <v>-508924.99999999994</v>
      </c>
      <c r="G5" s="16">
        <f>-($B$17*((1+$B$10)^G4))</f>
        <v>-518009.31124999991</v>
      </c>
      <c r="H5" s="16">
        <f>-($B$17*((1+$B$10)^H4))</f>
        <v>-527255.77745581244</v>
      </c>
      <c r="I5" s="16">
        <f>-($B$17*((1+$B$10)^I4))</f>
        <v>-536667.29308339872</v>
      </c>
      <c r="J5" s="16">
        <f>-($B$17*((1+$B$10)^J4))</f>
        <v>-546246.80426493729</v>
      </c>
      <c r="K5" s="16">
        <f>-($B$17*((1+$B$10)^K4))</f>
        <v>-555997.30972106638</v>
      </c>
      <c r="L5" s="16">
        <f>-($B$17*((1+$B$10)^L4))</f>
        <v>-565921.86169958743</v>
      </c>
      <c r="M5" s="16">
        <f>-($B$17*((1+$B$10)^M4))</f>
        <v>-576023.56693092501</v>
      </c>
      <c r="N5" s="16">
        <f>-($B$17*((1+$B$10)^N4))</f>
        <v>-586305.587600642</v>
      </c>
      <c r="O5" s="16">
        <f>-($B$17*((1+$B$10)^O4))</f>
        <v>-596771.14233931352</v>
      </c>
    </row>
    <row r="6" spans="1:20" ht="30" x14ac:dyDescent="0.25">
      <c r="A6" s="32" t="s">
        <v>27</v>
      </c>
      <c r="B6">
        <v>0.3</v>
      </c>
      <c r="D6" s="38" t="s">
        <v>24</v>
      </c>
      <c r="E6" s="16">
        <f>-(B16+B35)</f>
        <v>-1000000</v>
      </c>
      <c r="F6" s="16"/>
      <c r="G6" s="16"/>
      <c r="H6" s="16"/>
      <c r="I6" s="16"/>
      <c r="J6" s="16"/>
      <c r="K6" s="16"/>
      <c r="L6" s="16"/>
      <c r="M6" s="16"/>
      <c r="N6" s="20"/>
      <c r="O6" s="16"/>
    </row>
    <row r="7" spans="1:20" ht="30" x14ac:dyDescent="0.25">
      <c r="A7" t="s">
        <v>29</v>
      </c>
      <c r="B7" s="21">
        <f>(VLOOKUP($D$25,$E$26:$I$28,3))</f>
        <v>0.3</v>
      </c>
      <c r="D7" s="38" t="s">
        <v>23</v>
      </c>
      <c r="E7" s="16"/>
      <c r="F7" s="16">
        <f t="shared" ref="F7:O7" si="0">($B$12*((1+$B$10)^F4))*$B$8*$B$13*$B$7</f>
        <v>668867.14991249982</v>
      </c>
      <c r="G7" s="16">
        <f t="shared" si="0"/>
        <v>680806.42853843782</v>
      </c>
      <c r="H7" s="16">
        <f t="shared" si="0"/>
        <v>692958.82328784897</v>
      </c>
      <c r="I7" s="16">
        <f t="shared" si="0"/>
        <v>705328.13828353712</v>
      </c>
      <c r="J7" s="16">
        <f t="shared" si="0"/>
        <v>717918.24555189838</v>
      </c>
      <c r="K7" s="16">
        <f t="shared" si="0"/>
        <v>730733.0862349997</v>
      </c>
      <c r="L7" s="16">
        <f t="shared" si="0"/>
        <v>743776.67182429449</v>
      </c>
      <c r="M7" s="16">
        <f t="shared" si="0"/>
        <v>757053.08541635796</v>
      </c>
      <c r="N7" s="16">
        <f t="shared" si="0"/>
        <v>770566.48299103987</v>
      </c>
      <c r="O7" s="16">
        <f t="shared" si="0"/>
        <v>784321.09471243003</v>
      </c>
    </row>
    <row r="8" spans="1:20" x14ac:dyDescent="0.25">
      <c r="A8" t="s">
        <v>22</v>
      </c>
      <c r="B8">
        <v>208615</v>
      </c>
      <c r="D8" s="38" t="s">
        <v>0</v>
      </c>
      <c r="E8" s="16">
        <f>SUM(E5:E7)</f>
        <v>-1000000</v>
      </c>
      <c r="F8" s="16">
        <f>SUM(F5:F7)</f>
        <v>159942.14991249988</v>
      </c>
      <c r="G8" s="16">
        <f t="shared" ref="G8:O8" si="1">SUM(G5:G7)</f>
        <v>162797.1172884379</v>
      </c>
      <c r="H8" s="16">
        <f t="shared" si="1"/>
        <v>165703.04583203653</v>
      </c>
      <c r="I8" s="16">
        <f t="shared" si="1"/>
        <v>168660.8452001384</v>
      </c>
      <c r="J8" s="16">
        <f t="shared" si="1"/>
        <v>171671.44128696108</v>
      </c>
      <c r="K8" s="16">
        <f t="shared" si="1"/>
        <v>174735.77651393332</v>
      </c>
      <c r="L8" s="16">
        <f t="shared" si="1"/>
        <v>177854.81012470706</v>
      </c>
      <c r="M8" s="16">
        <f t="shared" si="1"/>
        <v>181029.51848543296</v>
      </c>
      <c r="N8" s="20">
        <f t="shared" si="1"/>
        <v>184260.89539039787</v>
      </c>
      <c r="O8" s="16">
        <f t="shared" si="1"/>
        <v>187549.95237311651</v>
      </c>
    </row>
    <row r="9" spans="1:20" x14ac:dyDescent="0.25">
      <c r="A9" t="s">
        <v>33</v>
      </c>
      <c r="B9" s="43">
        <v>1.7850000000000001E-2</v>
      </c>
      <c r="C9" s="24"/>
      <c r="D9" s="38" t="s">
        <v>1</v>
      </c>
      <c r="E9" s="16">
        <f>E8/(1+$B$5)^E4</f>
        <v>-1000000</v>
      </c>
      <c r="F9" s="16">
        <f>F8/(1+$B$5)^F4</f>
        <v>155281.49302598054</v>
      </c>
      <c r="G9" s="16">
        <f t="shared" ref="G9:O9" si="2">G8/(1+$B$5)^G4</f>
        <v>153447.65214090003</v>
      </c>
      <c r="H9" s="16">
        <f t="shared" si="2"/>
        <v>151635.46852048303</v>
      </c>
      <c r="I9" s="16">
        <f t="shared" si="2"/>
        <v>149844.68639711267</v>
      </c>
      <c r="J9" s="16">
        <f t="shared" si="2"/>
        <v>148075.0530237327</v>
      </c>
      <c r="K9" s="16">
        <f t="shared" si="2"/>
        <v>146326.3186381743</v>
      </c>
      <c r="L9" s="16">
        <f t="shared" si="2"/>
        <v>144598.23642790676</v>
      </c>
      <c r="M9" s="16">
        <f t="shared" si="2"/>
        <v>142890.56249520139</v>
      </c>
      <c r="N9" s="16">
        <f t="shared" si="2"/>
        <v>141203.05582270952</v>
      </c>
      <c r="O9" s="16">
        <f t="shared" si="2"/>
        <v>139535.47823944496</v>
      </c>
    </row>
    <row r="10" spans="1:20" x14ac:dyDescent="0.25">
      <c r="A10" t="s">
        <v>34</v>
      </c>
      <c r="B10" s="42">
        <f>(VLOOKUP($D$25,$E$26:$I$28,4))</f>
        <v>1.7850000000000001E-2</v>
      </c>
      <c r="D10" s="38" t="s">
        <v>2</v>
      </c>
      <c r="E10" s="16">
        <f>SUM($E$9:E9)</f>
        <v>-1000000</v>
      </c>
      <c r="F10" s="16">
        <f>SUM($E$9:F9)</f>
        <v>-844718.50697401946</v>
      </c>
      <c r="G10" s="16">
        <f>SUM($E$9:G9)</f>
        <v>-691270.85483311943</v>
      </c>
      <c r="H10" s="16">
        <f>SUM($E$9:H9)</f>
        <v>-539635.38631263643</v>
      </c>
      <c r="I10" s="16">
        <f>SUM($E$9:I9)</f>
        <v>-389790.69991552376</v>
      </c>
      <c r="J10" s="16">
        <f>SUM($E$9:J9)</f>
        <v>-241715.64689179105</v>
      </c>
      <c r="K10" s="16">
        <f>SUM($E$9:K9)</f>
        <v>-95389.328253616753</v>
      </c>
      <c r="L10" s="16">
        <f>SUM($E$9:L9)</f>
        <v>49208.908174290002</v>
      </c>
      <c r="M10" s="16">
        <f>SUM($E$9:M9)</f>
        <v>192099.47066949139</v>
      </c>
      <c r="N10" s="20">
        <f>SUM($E$9:N9)</f>
        <v>333302.52649220091</v>
      </c>
      <c r="O10" s="16">
        <f>SUM($E$9:O9)</f>
        <v>472838.00473164587</v>
      </c>
      <c r="S10" s="2"/>
      <c r="T10" s="2"/>
    </row>
    <row r="11" spans="1:20" x14ac:dyDescent="0.25">
      <c r="A11" t="s">
        <v>37</v>
      </c>
      <c r="B11">
        <v>25</v>
      </c>
      <c r="D11" s="38" t="s">
        <v>11</v>
      </c>
      <c r="E11" s="5">
        <f>COUNTIF(E9:O9,"&lt;0")</f>
        <v>1</v>
      </c>
      <c r="F11" s="2"/>
      <c r="G11" s="2"/>
      <c r="R11" s="12"/>
    </row>
    <row r="12" spans="1:20" x14ac:dyDescent="0.25">
      <c r="A12" t="s">
        <v>38</v>
      </c>
      <c r="B12" s="22">
        <f>(VLOOKUP($D$25,$E$26:$I$28,5))</f>
        <v>25</v>
      </c>
      <c r="D12" s="38" t="s">
        <v>8</v>
      </c>
      <c r="E12" s="16">
        <f>HLOOKUP(E11-1,D4:O9,6)</f>
        <v>-1000000</v>
      </c>
      <c r="R12" s="12"/>
      <c r="S12" s="2"/>
    </row>
    <row r="13" spans="1:20" x14ac:dyDescent="0.25">
      <c r="A13" t="s">
        <v>21</v>
      </c>
      <c r="B13" s="1">
        <v>0.42</v>
      </c>
      <c r="C13" s="12"/>
      <c r="D13" s="38" t="s">
        <v>9</v>
      </c>
      <c r="E13" s="16">
        <f>HLOOKUP(E11,D4:O9,5)</f>
        <v>159942.14991249988</v>
      </c>
      <c r="F13" s="2"/>
      <c r="R13" s="2"/>
    </row>
    <row r="14" spans="1:20" x14ac:dyDescent="0.25">
      <c r="C14" s="12"/>
      <c r="D14" s="38" t="s">
        <v>10</v>
      </c>
      <c r="E14" s="8">
        <f>ABS(E12/E13)</f>
        <v>6.2522605863874752</v>
      </c>
      <c r="P14" s="15"/>
    </row>
    <row r="15" spans="1:20" ht="15.75" x14ac:dyDescent="0.25">
      <c r="A15" s="26" t="s">
        <v>14</v>
      </c>
      <c r="C15" s="12"/>
      <c r="P15" s="15"/>
      <c r="R15" s="11"/>
    </row>
    <row r="16" spans="1:20" x14ac:dyDescent="0.25">
      <c r="A16" t="s">
        <v>24</v>
      </c>
      <c r="B16" s="12">
        <v>1000000</v>
      </c>
      <c r="D16" s="39"/>
      <c r="E16" s="1"/>
      <c r="F16" s="1"/>
      <c r="G16" s="1"/>
      <c r="H16" s="1"/>
      <c r="I16" s="1"/>
      <c r="J16" s="1"/>
      <c r="K16" s="1"/>
      <c r="L16" s="1"/>
      <c r="M16" s="1"/>
      <c r="N16" s="1"/>
      <c r="O16" s="15"/>
      <c r="P16" s="15"/>
    </row>
    <row r="17" spans="1:28" x14ac:dyDescent="0.25">
      <c r="A17" t="s">
        <v>20</v>
      </c>
      <c r="B17" s="12">
        <v>500000</v>
      </c>
      <c r="D17" s="40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28" ht="21" x14ac:dyDescent="0.35">
      <c r="C18" s="18"/>
      <c r="D18" s="9" t="s">
        <v>12</v>
      </c>
      <c r="O18" s="1"/>
      <c r="P18" s="1"/>
      <c r="Q18" s="9"/>
      <c r="S18" s="2"/>
      <c r="AA18" s="4"/>
    </row>
    <row r="19" spans="1:28" x14ac:dyDescent="0.25">
      <c r="A19" t="s">
        <v>39</v>
      </c>
      <c r="B19" s="1">
        <v>0.2</v>
      </c>
      <c r="D19" s="38" t="s">
        <v>3</v>
      </c>
      <c r="E19" s="7">
        <f>O10</f>
        <v>472838.00473164587</v>
      </c>
      <c r="F19" s="11"/>
      <c r="R19" s="12"/>
      <c r="S19" s="12"/>
    </row>
    <row r="20" spans="1:28" x14ac:dyDescent="0.25">
      <c r="B20" s="12"/>
      <c r="D20" s="38" t="s">
        <v>4</v>
      </c>
      <c r="E20" s="6">
        <f>IRR(E8:O8)</f>
        <v>0.11140756140450958</v>
      </c>
      <c r="O20" s="11"/>
      <c r="P20" s="11"/>
      <c r="R20" s="1"/>
      <c r="S20" s="2"/>
      <c r="AA20" s="14"/>
      <c r="AB20" s="11"/>
    </row>
    <row r="21" spans="1:28" x14ac:dyDescent="0.25">
      <c r="D21" s="38" t="s">
        <v>5</v>
      </c>
      <c r="E21" s="8">
        <f>SUM(F9:O9)/-E9</f>
        <v>1.4728380047316461</v>
      </c>
      <c r="F21" s="2"/>
      <c r="G21" s="2"/>
      <c r="H21" s="2"/>
      <c r="I21" s="2"/>
      <c r="J21" s="2"/>
      <c r="K21" s="2"/>
      <c r="L21" s="2"/>
      <c r="M21" s="2"/>
      <c r="N21" s="2"/>
      <c r="R21" s="2"/>
      <c r="AA21" s="14"/>
    </row>
    <row r="22" spans="1:28" x14ac:dyDescent="0.25">
      <c r="C22" s="2"/>
      <c r="D22" s="38" t="s">
        <v>31</v>
      </c>
      <c r="E22" s="8">
        <f>E11-1+E14</f>
        <v>6.2522605863874752</v>
      </c>
      <c r="R22" s="2"/>
      <c r="AA22" s="14"/>
      <c r="AB22" s="12"/>
    </row>
    <row r="23" spans="1:28" x14ac:dyDescent="0.25">
      <c r="F23" s="1"/>
      <c r="G23" s="1"/>
      <c r="H23" s="1"/>
      <c r="I23" s="1"/>
      <c r="J23" s="1"/>
      <c r="K23" s="1"/>
      <c r="L23" s="1"/>
      <c r="M23" s="1"/>
      <c r="N23" s="1"/>
      <c r="AA23" s="14"/>
      <c r="AB23" s="12"/>
    </row>
    <row r="24" spans="1:28" ht="21" x14ac:dyDescent="0.35">
      <c r="B24" s="12"/>
      <c r="C24" s="1"/>
      <c r="D24" s="41" t="s">
        <v>15</v>
      </c>
      <c r="AA24" s="14"/>
    </row>
    <row r="25" spans="1:28" x14ac:dyDescent="0.25">
      <c r="B25" s="12"/>
      <c r="D25" s="38">
        <v>1</v>
      </c>
      <c r="E25" s="5" t="s">
        <v>16</v>
      </c>
      <c r="F25" s="5"/>
      <c r="G25" s="5" t="s">
        <v>28</v>
      </c>
      <c r="H25" s="5" t="s">
        <v>30</v>
      </c>
      <c r="I25" s="5" t="s">
        <v>32</v>
      </c>
    </row>
    <row r="26" spans="1:28" x14ac:dyDescent="0.25">
      <c r="B26" s="12"/>
      <c r="D26" s="38"/>
      <c r="E26" s="5">
        <v>1</v>
      </c>
      <c r="F26" s="5" t="s">
        <v>18</v>
      </c>
      <c r="G26" s="30">
        <v>0.3</v>
      </c>
      <c r="H26" s="34">
        <f>B9</f>
        <v>1.7850000000000001E-2</v>
      </c>
      <c r="I26" s="35">
        <f>B11</f>
        <v>25</v>
      </c>
    </row>
    <row r="27" spans="1:28" x14ac:dyDescent="0.25">
      <c r="B27" s="12"/>
      <c r="D27" s="38"/>
      <c r="E27" s="5">
        <v>2</v>
      </c>
      <c r="F27" s="5" t="s">
        <v>17</v>
      </c>
      <c r="G27" s="31">
        <f>G26*(1+B19)</f>
        <v>0.36</v>
      </c>
      <c r="H27" s="33">
        <f>H26*(1-B19)</f>
        <v>1.4280000000000001E-2</v>
      </c>
      <c r="I27" s="36">
        <f>I26*(1+B19)</f>
        <v>30</v>
      </c>
      <c r="J27" s="1"/>
    </row>
    <row r="28" spans="1:28" x14ac:dyDescent="0.25">
      <c r="B28" s="12"/>
      <c r="D28" s="38"/>
      <c r="E28" s="5">
        <v>3</v>
      </c>
      <c r="F28" s="5" t="s">
        <v>19</v>
      </c>
      <c r="G28" s="31">
        <f>G26*(1-B19)</f>
        <v>0.24</v>
      </c>
      <c r="H28" s="33">
        <f>H26*(1+B19)</f>
        <v>2.1420000000000002E-2</v>
      </c>
      <c r="I28" s="36">
        <f>I26*(1-B19)</f>
        <v>20</v>
      </c>
      <c r="J28" s="1"/>
    </row>
    <row r="35" spans="1:17" x14ac:dyDescent="0.25">
      <c r="A35" s="19"/>
      <c r="C35" s="29"/>
    </row>
    <row r="38" spans="1:17" x14ac:dyDescent="0.25">
      <c r="C38" s="29"/>
    </row>
    <row r="40" spans="1:17" x14ac:dyDescent="0.25">
      <c r="A40" s="19"/>
    </row>
    <row r="42" spans="1:17" x14ac:dyDescent="0.25">
      <c r="B42" s="1"/>
    </row>
    <row r="43" spans="1:17" x14ac:dyDescent="0.25">
      <c r="B43" s="12"/>
    </row>
    <row r="44" spans="1:17" ht="15.75" x14ac:dyDescent="0.25">
      <c r="A44" s="25"/>
      <c r="B44" s="1"/>
    </row>
    <row r="45" spans="1:17" x14ac:dyDescent="0.25">
      <c r="Q45" s="2"/>
    </row>
    <row r="50" spans="1:2" x14ac:dyDescent="0.25">
      <c r="B50" s="1"/>
    </row>
    <row r="51" spans="1:2" x14ac:dyDescent="0.25">
      <c r="B51" s="11"/>
    </row>
    <row r="52" spans="1:2" x14ac:dyDescent="0.25">
      <c r="B52" s="11"/>
    </row>
    <row r="56" spans="1:2" x14ac:dyDescent="0.25">
      <c r="B56" s="11"/>
    </row>
    <row r="60" spans="1:2" x14ac:dyDescent="0.25">
      <c r="B60" s="18"/>
    </row>
    <row r="63" spans="1:2" x14ac:dyDescent="0.25">
      <c r="B63" s="28"/>
    </row>
    <row r="64" spans="1:2" x14ac:dyDescent="0.25">
      <c r="A64" s="2"/>
      <c r="B64" s="28"/>
    </row>
    <row r="65" spans="1:2" x14ac:dyDescent="0.25">
      <c r="A65" s="17"/>
      <c r="B65" s="27"/>
    </row>
    <row r="70" spans="1:2" x14ac:dyDescent="0.25">
      <c r="A70" s="1"/>
      <c r="B70" s="1"/>
    </row>
    <row r="71" spans="1:2" x14ac:dyDescent="0.25">
      <c r="B71" s="12"/>
    </row>
  </sheetData>
  <scenarios current="0" sqref="E17:E20">
    <scenario name="optimistic" locked="1" count="3" user="Joona" comment="Created by Joona on 05/08/2024">
      <inputCells r="G27" val="0,36"/>
      <inputCells r="H27" val="0,0142799999999999"/>
      <inputCells r="I27" val="33,6"/>
    </scenario>
  </scenarios>
  <conditionalFormatting sqref="R5:AE9 P5:P9 E5:O10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R19:R22 R10:R13">
    <cfRule type="cellIs" dxfId="7" priority="7" operator="greaterThan">
      <formula>100</formula>
    </cfRule>
    <cfRule type="cellIs" dxfId="6" priority="8" operator="lessThan">
      <formula>0</formula>
    </cfRule>
  </conditionalFormatting>
  <conditionalFormatting sqref="E11 E14">
    <cfRule type="cellIs" dxfId="5" priority="5" operator="greaterThan">
      <formula>100</formula>
    </cfRule>
    <cfRule type="cellIs" dxfId="4" priority="6" operator="lessThan">
      <formula>0</formula>
    </cfRule>
  </conditionalFormatting>
  <conditionalFormatting sqref="E12:E1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E19:E22">
    <cfRule type="cellIs" dxfId="1" priority="1" operator="greaterThan">
      <formula>100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Option Button 1">
              <controlPr defaultSize="0" autoFill="0" autoLine="0" autoPict="0">
                <anchor moveWithCells="1">
                  <from>
                    <xdr:col>3</xdr:col>
                    <xdr:colOff>419100</xdr:colOff>
                    <xdr:row>24</xdr:row>
                    <xdr:rowOff>152400</xdr:rowOff>
                  </from>
                  <to>
                    <xdr:col>3</xdr:col>
                    <xdr:colOff>685800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Option Button 2">
              <controlPr defaultSize="0" autoFill="0" autoLine="0" autoPict="0">
                <anchor moveWithCells="1">
                  <from>
                    <xdr:col>3</xdr:col>
                    <xdr:colOff>419100</xdr:colOff>
                    <xdr:row>25</xdr:row>
                    <xdr:rowOff>142875</xdr:rowOff>
                  </from>
                  <to>
                    <xdr:col>3</xdr:col>
                    <xdr:colOff>685800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Option Button 3">
              <controlPr defaultSize="0" autoFill="0" autoLine="0" autoPict="0">
                <anchor moveWithCells="1">
                  <from>
                    <xdr:col>3</xdr:col>
                    <xdr:colOff>419100</xdr:colOff>
                    <xdr:row>26</xdr:row>
                    <xdr:rowOff>161925</xdr:rowOff>
                  </from>
                  <to>
                    <xdr:col>3</xdr:col>
                    <xdr:colOff>685800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0c3bb08-53bd-42a2-baf6-70da68a4ad5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9779399977D7419564E739AAC2550B" ma:contentTypeVersion="17" ma:contentTypeDescription="Create a new document." ma:contentTypeScope="" ma:versionID="435d0e0239f76ec730175143b476b1e1">
  <xsd:schema xmlns:xsd="http://www.w3.org/2001/XMLSchema" xmlns:xs="http://www.w3.org/2001/XMLSchema" xmlns:p="http://schemas.microsoft.com/office/2006/metadata/properties" xmlns:ns3="30c3bb08-53bd-42a2-baf6-70da68a4ad5b" xmlns:ns4="433bbd6a-917c-413b-bfa5-0aa637da789d" targetNamespace="http://schemas.microsoft.com/office/2006/metadata/properties" ma:root="true" ma:fieldsID="6fa58c04cf691ec22a6cf4add0e92a5e" ns3:_="" ns4:_="">
    <xsd:import namespace="30c3bb08-53bd-42a2-baf6-70da68a4ad5b"/>
    <xsd:import namespace="433bbd6a-917c-413b-bfa5-0aa637da789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c3bb08-53bd-42a2-baf6-70da68a4ad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bbd6a-917c-413b-bfa5-0aa637da789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637DF8-A5AB-4B4A-B542-0FB6288279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56C2896-195D-42A4-8588-EA8C6F8DEA99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30c3bb08-53bd-42a2-baf6-70da68a4ad5b"/>
    <ds:schemaRef ds:uri="http://schemas.microsoft.com/office/2006/metadata/properties"/>
    <ds:schemaRef ds:uri="433bbd6a-917c-413b-bfa5-0aa637da789d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81D9329-1F87-4F45-BF24-D12616AB74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c3bb08-53bd-42a2-baf6-70da68a4ad5b"/>
    <ds:schemaRef ds:uri="433bbd6a-917c-413b-bfa5-0aa637da78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9d97530e-8f27-4137-a2a9-5cb4dcf26f2e}" enabled="0" method="" siteId="{9d97530e-8f27-4137-a2a9-5cb4dcf26f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General investment model</vt:lpstr>
      <vt:lpstr>Cost</vt:lpstr>
      <vt:lpstr>'General investment model'!Inflation</vt:lpstr>
      <vt:lpstr>'General investment model'!IRR</vt:lpstr>
      <vt:lpstr>M</vt:lpstr>
      <vt:lpstr>'General investment model'!NPV</vt:lpstr>
      <vt:lpstr>'General investment model'!PI</vt:lpstr>
      <vt:lpstr>Removed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</dc:creator>
  <cp:lastModifiedBy>Katariina Timonen</cp:lastModifiedBy>
  <cp:lastPrinted>2022-03-20T16:58:37Z</cp:lastPrinted>
  <dcterms:created xsi:type="dcterms:W3CDTF">2015-06-05T18:17:20Z</dcterms:created>
  <dcterms:modified xsi:type="dcterms:W3CDTF">2024-09-16T15:14:50Z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0x010100809779399977D7419564E739AAC2550B</vt:lpwstr>
  </property>
</Properties>
</file>